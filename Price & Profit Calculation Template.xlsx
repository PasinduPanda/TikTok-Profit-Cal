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Tiktok US" sheetId="1" r:id="rId1"/>
    <sheet name="Tiktok US ( Profit )" sheetId="2" r:id="rId2"/>
    <sheet name="Tiktok UK" sheetId="3" r:id="rId3"/>
    <sheet name="Shein" sheetId="4" r:id="rId4"/>
    <sheet name="Shein ( Profit )" sheetId="5" r:id="rId5"/>
  </sheets>
  <calcPr calcId="0"/>
</workbook>
</file>

<file path=xl/sharedStrings.xml><?xml version="1.0" encoding="utf-8"?>
<sst xmlns="http://schemas.openxmlformats.org/spreadsheetml/2006/main">
  <si>
    <t>Calculation Template</t>
  </si>
  <si>
    <t>Product Cost RMB</t>
  </si>
  <si>
    <t>First Flight Cost （USD）</t>
  </si>
  <si>
    <t>Last Flight Cost（USD）</t>
  </si>
  <si>
    <t>Product+Shipping USD</t>
  </si>
  <si>
    <t>Ads Cost 5%</t>
  </si>
  <si>
    <t>Affliation Cost 13%</t>
  </si>
  <si>
    <t>Tiktok Service Fee 8%</t>
  </si>
  <si>
    <t>Refund 10%</t>
  </si>
  <si>
    <t>Profit Margin</t>
  </si>
  <si>
    <t xml:space="preserve">Total </t>
  </si>
  <si>
    <t>Selling Price</t>
  </si>
  <si>
    <t>Selling Price(USD)</t>
  </si>
  <si>
    <t>Product+Shipping Cost</t>
  </si>
  <si>
    <t>Profit</t>
  </si>
  <si>
    <t>Product Cost (RMB)</t>
  </si>
  <si>
    <t>Direct Shipping Cost （GBP）</t>
  </si>
  <si>
    <t>Product+Shipping (GBP)</t>
  </si>
  <si>
    <t>Profit Margin(No lower than 40%)</t>
  </si>
  <si>
    <t>Selling Price(GBP)</t>
  </si>
  <si>
    <t>Refund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</si>
</sst>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$#,##0.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164" fontId="4" fillId="0" borderId="0" xfId="0" applyNumberFormat="1" applyFont="1">
      <alignment vertical="center"/>
    </xf>
    <xf numFmtId="164" fontId="4" fillId="0" borderId="0" xfId="0" applyNumberFormat="1" applyFont="1">
      <alignment horizontal="center" vertical="center"/>
    </xf>
    <xf numFmtId="10" fontId="4" fillId="0" borderId="0" xfId="0" applyNumberFormat="1" applyFont="1">
      <alignment horizontal="center" vertical="center"/>
    </xf>
    <xf numFmtId="164" fontId="4" fillId="2" borderId="0" xfId="0" applyNumberFormat="1" applyFont="1" applyFill="1">
      <alignment horizontal="center" vertical="center"/>
    </xf>
    <xf numFmtId="10" fontId="4" fillId="2" borderId="0" xfId="0" applyNumberFormat="1" applyFont="1" applyFill="1">
      <alignment horizontal="center" vertical="center"/>
    </xf>
    <xf numFmtId="4" fontId="4" fillId="2" borderId="0" xfId="0" applyNumberFormat="1" applyFont="1" applyFill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4" fillId="3" borderId="1" xfId="0" applyFont="1" applyFill="1" applyBorder="1" applyProtection="1">
      <alignment horizontal="center" vertical="center" wrapText="1"/>
    </xf>
    <xf numFmtId="164" fontId="4" fillId="0" borderId="1" xfId="0" applyNumberFormat="1" applyFont="1" applyBorder="1" applyProtection="1">
      <alignment horizontal="center" vertical="center" wrapText="1"/>
    </xf>
    <xf numFmtId="10" fontId="4" fillId="0" borderId="1" xfId="0" applyNumberFormat="1" applyFont="1" applyBorder="1" applyProtection="1">
      <alignment horizontal="center" vertical="center" wrapText="1"/>
    </xf>
    <xf numFmtId="10" fontId="4" fillId="3" borderId="1" xfId="0" applyNumberFormat="1" applyFont="1" applyFill="1" applyBorder="1" applyProtection="1">
      <alignment horizontal="center" vertical="center" wrapText="1"/>
    </xf>
    <xf numFmtId="4" fontId="4" fillId="0" borderId="0" xfId="0" applyNumberFormat="1" applyFont="1">
      <alignment horizontal="center" vertical="center"/>
    </xf>
    <xf numFmtId="4" fontId="4" fillId="0" borderId="1" xfId="0" applyNumberFormat="1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3" activePane="bottomRight" state="frozen" xSplit="1" ySplit="2"/>
    </sheetView>
  </sheetViews>
  <sheetFormatPr baseColWidth="10" defaultColWidth="9.9990234375" defaultRowHeight="16.5" customHeight="1"/>
  <cols>
    <col min="1" max="2" width="15.9990234375" customWidth="1"/>
    <col min="3" max="3" width="12.498046875" customWidth="1"/>
    <col min="4" max="4" width="14.8740234375" customWidth="1"/>
    <col min="5" max="5" width="18.9990234375" customWidth="1" style="8"/>
    <col min="6" max="6" width="14.625" customWidth="1" style="9"/>
    <col min="7" max="7" width="15.6240234375" customWidth="1" style="9"/>
    <col min="8" max="8" width="17.4990234375" customWidth="1" style="9"/>
    <col min="9" max="11" width="13.875" customWidth="1" style="9"/>
    <col min="12" max="12" width="13.875" customWidth="1" style="8"/>
    <col min="13" max="44" width="13.875" customWidth="1"/>
  </cols>
  <sheetData>
    <row r="1" s="13" customFormat="1" ht="43.5" customHeight="1">
      <c r="A1" s="13" t="s">
        <v>0</v>
      </c>
      <c r="B1" s="13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5" t="s">
        <v>11</v>
      </c>
    </row>
    <row r="2" ht="30.75" customHeight="1">
      <c r="A2" s="6" t="s">
        <v>11</v>
      </c>
      <c r="B2" s="6" t="n">
        <v>70</v>
      </c>
      <c r="C2" s="6" t="n">
        <v>1.5</v>
      </c>
      <c r="D2" s="6" t="n">
        <v>9.5</v>
      </c>
      <c r="E2" s="8" t="n">
        <f>(B2/7)+C2+D2</f>
        <v>21</v>
      </c>
      <c r="F2" s="9" t="n">
        <v>0.05</v>
      </c>
      <c r="G2" s="9" t="n">
        <v>0.13</v>
      </c>
      <c r="H2" s="9" t="n">
        <v>0.08</v>
      </c>
      <c r="I2" s="9" t="n">
        <v>0.1</v>
      </c>
      <c r="J2" s="9" t="n">
        <v>0.25</v>
      </c>
      <c r="K2" s="9" t="n">
        <f>F2+G2+H2+I2+J2</f>
        <v>0.61</v>
      </c>
      <c r="L2" s="10" t="n">
        <f>E2/(1-K2)</f>
        <v>53.8461538461539</v>
      </c>
    </row>
    <row r="3" s="5" customFormat="1" ht="30.75" customHeight="1"/>
    <row r="4" s="5" customFormat="1" ht="30.75" customHeight="1"/>
    <row r="5" s="5" customFormat="1" ht="30.75" customHeight="1">
      <c r="K5" s="7"/>
      <c r="L5" s="7"/>
    </row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  <row r="195" ht="30.75" customHeight="1"/>
    <row r="196" ht="30.75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1.4990234375" customWidth="1"/>
    <col min="2" max="2" width="14.373046875" customWidth="1"/>
    <col min="3" max="3" width="13.875" customWidth="1" style="8"/>
    <col min="4" max="4" width="12.498046875" customWidth="1"/>
    <col min="5" max="5" width="14.8740234375" customWidth="1"/>
    <col min="6" max="6" width="13.875" customWidth="1" style="8"/>
    <col min="7" max="8" width="14.625" customWidth="1" style="9"/>
    <col min="9" max="9" width="15.6240234375" customWidth="1" style="9"/>
    <col min="10" max="10" width="17.4990234375" customWidth="1" style="9"/>
    <col min="11" max="11" width="13.875" customWidth="1" style="9"/>
    <col min="12" max="44" width="13.875" customWidth="1"/>
  </cols>
  <sheetData>
    <row r="1" s="13" customFormat="1" ht="43.5" customHeight="1">
      <c r="A1" s="13" t="s">
        <v>0</v>
      </c>
      <c r="B1" s="13" t="s">
        <v>1</v>
      </c>
      <c r="C1" s="15" t="s">
        <v>12</v>
      </c>
      <c r="D1" s="14" t="s">
        <v>2</v>
      </c>
      <c r="E1" s="14" t="s">
        <v>3</v>
      </c>
      <c r="F1" s="15" t="s">
        <v>4</v>
      </c>
      <c r="G1" s="15" t="s">
        <v>13</v>
      </c>
      <c r="H1" s="16" t="s">
        <v>5</v>
      </c>
      <c r="I1" s="16" t="s">
        <v>6</v>
      </c>
      <c r="J1" s="17" t="s">
        <v>7</v>
      </c>
      <c r="K1" s="16" t="s">
        <v>8</v>
      </c>
      <c r="L1" s="13" t="s">
        <v>9</v>
      </c>
    </row>
    <row r="2" ht="30.75" customHeight="1">
      <c r="A2" s="6" t="s">
        <v>14</v>
      </c>
      <c r="B2" s="6" t="n">
        <v>69</v>
      </c>
      <c r="C2" s="8" t="n">
        <v>49.99</v>
      </c>
      <c r="D2" s="6" t="n">
        <v>1.5</v>
      </c>
      <c r="E2" s="6" t="n">
        <v>9.5</v>
      </c>
      <c r="F2" s="8" t="n">
        <f>(B2/7)+D2+E2</f>
        <v>20.8571428571429</v>
      </c>
      <c r="G2" s="9" t="n">
        <f>F2/C2</f>
        <v>0.417226302403339</v>
      </c>
      <c r="H2" s="9" t="n">
        <v>0.05</v>
      </c>
      <c r="I2" s="9" t="n">
        <v>0.13</v>
      </c>
      <c r="J2" s="9" t="n">
        <v>0.08</v>
      </c>
      <c r="K2" s="9" t="n">
        <v>0.1</v>
      </c>
      <c r="L2" s="11" t="n">
        <f>1-G2-H2-I2-J2-K2</f>
        <v>0.222773697596661</v>
      </c>
    </row>
    <row r="3" s="5" customFormat="1" ht="30.75" customHeight="1">
      <c r="A3" s="6" t="s">
        <v>14</v>
      </c>
      <c r="B3" s="6" t="n">
        <v>41</v>
      </c>
      <c r="C3" s="8" t="n">
        <v>28</v>
      </c>
      <c r="D3" s="6" t="n">
        <v>1.5</v>
      </c>
      <c r="E3" s="6" t="n">
        <v>9.5</v>
      </c>
      <c r="F3" s="8" t="n">
        <f>(B3/7)+D3+E3</f>
        <v>16.8571428571429</v>
      </c>
      <c r="G3" s="9" t="n">
        <f>F3/C3</f>
        <v>0.602040816326532</v>
      </c>
      <c r="H3" s="9" t="n">
        <v>0</v>
      </c>
      <c r="I3" s="9" t="n">
        <v>0</v>
      </c>
      <c r="J3" s="9" t="n">
        <v>0.08</v>
      </c>
      <c r="K3" s="9" t="n">
        <v>0.1</v>
      </c>
      <c r="L3" s="9" t="n">
        <f>1-G3-H3-I3-J3-K3</f>
        <v>0.217959183673468</v>
      </c>
    </row>
    <row r="4" ht="30.75" customHeight="1"/>
    <row r="5" ht="30.75" customHeight="1"/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.9990234375" defaultRowHeight="16.5" customHeight="1"/>
  <cols>
    <col min="1" max="2" width="15.9990234375" customWidth="1"/>
    <col min="3" max="3" width="13.875" customWidth="1"/>
    <col min="4" max="4" width="18.9990234375" customWidth="1" style="18"/>
    <col min="5" max="7" width="17.4990234375" customWidth="1" style="9"/>
    <col min="8" max="8" width="13.875" customWidth="1" style="9"/>
    <col min="9" max="9" width="14.373046875" customWidth="1" style="9"/>
    <col min="10" max="10" width="13.875" customWidth="1" style="9"/>
    <col min="11" max="11" width="13.875" customWidth="1" style="18"/>
    <col min="12" max="43" width="13.875" customWidth="1"/>
  </cols>
  <sheetData>
    <row r="1" s="13" customFormat="1" ht="43.5" customHeight="1">
      <c r="A1" s="13" t="s">
        <v>0</v>
      </c>
      <c r="B1" s="13" t="s">
        <v>15</v>
      </c>
      <c r="C1" s="14" t="s">
        <v>16</v>
      </c>
      <c r="D1" s="19" t="s">
        <v>17</v>
      </c>
      <c r="E1" s="16" t="s">
        <v>5</v>
      </c>
      <c r="F1" s="16" t="s">
        <v>6</v>
      </c>
      <c r="G1" s="17" t="s">
        <v>7</v>
      </c>
      <c r="H1" s="16" t="s">
        <v>8</v>
      </c>
      <c r="I1" s="16" t="s">
        <v>18</v>
      </c>
      <c r="J1" s="16" t="s">
        <v>10</v>
      </c>
      <c r="K1" s="19" t="s">
        <v>19</v>
      </c>
    </row>
    <row r="2" ht="30.75" customHeight="1">
      <c r="A2" s="6" t="s">
        <v>11</v>
      </c>
      <c r="B2" s="6" t="n">
        <v>70</v>
      </c>
      <c r="C2" s="6" t="n">
        <v>10</v>
      </c>
      <c r="D2" s="18" t="n">
        <f>(B2/9)+C2</f>
        <v>17.7777777777778</v>
      </c>
      <c r="E2" s="9" t="n">
        <v>0</v>
      </c>
      <c r="F2" s="9" t="n">
        <v>0</v>
      </c>
      <c r="G2" s="9" t="n">
        <v>0.08</v>
      </c>
      <c r="H2" s="9" t="n">
        <v>0.1</v>
      </c>
      <c r="I2" s="9" t="n">
        <v>0.4</v>
      </c>
      <c r="J2" s="9" t="n">
        <f>E2+F2+G2+H2+I2</f>
        <v>0.58</v>
      </c>
      <c r="K2" s="12" t="n">
        <f>D2/(1-J2)</f>
        <v>42.3280423280424</v>
      </c>
    </row>
    <row r="3" s="5" customFormat="1" ht="30.75" customHeight="1"/>
    <row r="4" s="5" customFormat="1" ht="30.75" customHeight="1"/>
    <row r="5" ht="30.75" customHeight="1"/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  <row r="195" ht="30.75" customHeight="1"/>
    <row r="196" ht="30.75" customHeight="1"/>
    <row r="197" ht="30.75" customHeight="1"/>
    <row r="198" ht="30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.9990234375" defaultRowHeight="16.5" customHeight="1"/>
  <cols>
    <col min="1" max="2" width="15.9990234375" customWidth="1"/>
    <col min="3" max="3" width="13.875" customWidth="1"/>
    <col min="4" max="4" width="14.8740234375" customWidth="1"/>
    <col min="5" max="5" width="18.9990234375" customWidth="1" style="8"/>
    <col min="6" max="8" width="13.875" customWidth="1" style="9"/>
    <col min="9" max="9" width="13.875" customWidth="1" style="8"/>
    <col min="10" max="42" width="13.875" customWidth="1"/>
  </cols>
  <sheetData>
    <row r="1" s="13" customFormat="1" ht="43.5" customHeight="1">
      <c r="A1" s="13" t="s">
        <v>0</v>
      </c>
      <c r="B1" s="13" t="s">
        <v>1</v>
      </c>
      <c r="C1" s="14" t="s">
        <v>2</v>
      </c>
      <c r="D1" s="14" t="s">
        <v>3</v>
      </c>
      <c r="E1" s="15" t="s">
        <v>4</v>
      </c>
      <c r="F1" s="16" t="s">
        <v>20</v>
      </c>
      <c r="G1" s="16" t="s">
        <v>9</v>
      </c>
      <c r="H1" s="16" t="s">
        <v>10</v>
      </c>
      <c r="I1" s="15" t="s">
        <v>11</v>
      </c>
    </row>
    <row r="2" ht="30.75" customHeight="1">
      <c r="A2" s="6" t="s">
        <v>11</v>
      </c>
      <c r="B2" s="6" t="n">
        <v>70</v>
      </c>
      <c r="C2" s="6" t="n">
        <v>1.5</v>
      </c>
      <c r="D2" s="6" t="n">
        <v>9.5</v>
      </c>
      <c r="E2" s="8" t="n">
        <f>(B2/7)+C2+D2</f>
        <v>21</v>
      </c>
      <c r="F2" s="9" t="n">
        <v>0.12</v>
      </c>
      <c r="G2" s="9" t="n">
        <v>0.2</v>
      </c>
      <c r="H2" s="9" t="n">
        <f>F2+G2</f>
        <v>0.32</v>
      </c>
      <c r="I2" s="10" t="n">
        <f>E2/(1-H2)</f>
        <v>30.8823529411765</v>
      </c>
    </row>
    <row r="3" ht="30.75" customHeight="1">
      <c r="B3" s="6" t="n">
        <v>80</v>
      </c>
      <c r="C3" s="6" t="n">
        <v>1.5</v>
      </c>
      <c r="D3" s="6" t="n">
        <v>9.5</v>
      </c>
      <c r="E3" s="8" t="n">
        <f>(B3/7)+C3+D3</f>
        <v>22.4285714285714</v>
      </c>
      <c r="F3" s="9" t="n">
        <v>0.12</v>
      </c>
      <c r="G3" s="9" t="n">
        <v>0.25</v>
      </c>
      <c r="H3" s="9" t="n">
        <f>F3+G3</f>
        <v>0.37</v>
      </c>
      <c r="I3" s="8" t="n">
        <f>E3/(1-H3)</f>
        <v>35.6009070294784</v>
      </c>
      <c r="J3" s="8"/>
      <c r="K3" s="8"/>
      <c r="L3" s="8"/>
    </row>
    <row r="4" ht="30.75" customHeight="1">
      <c r="B4" s="6" t="n">
        <v>80</v>
      </c>
      <c r="C4" s="6" t="n">
        <v>1.5</v>
      </c>
      <c r="D4" s="6" t="n">
        <v>9.5</v>
      </c>
      <c r="E4" s="8" t="n">
        <f>(B4/7)+C4+D4</f>
        <v>22.4285714285714</v>
      </c>
      <c r="F4" s="9" t="n">
        <v>0.12</v>
      </c>
      <c r="G4" s="9" t="n">
        <v>0.1</v>
      </c>
      <c r="H4" s="9" t="n">
        <f>F4+G4</f>
        <v>0.22</v>
      </c>
      <c r="I4" s="8" t="n">
        <f>E4/(1-H4)</f>
        <v>28.7545787545787</v>
      </c>
    </row>
    <row r="5" ht="30.75" customHeight="1">
      <c r="B5" s="6" t="n">
        <v>80</v>
      </c>
      <c r="C5" s="6" t="n">
        <v>1.5</v>
      </c>
      <c r="D5" s="6" t="n">
        <v>9.5</v>
      </c>
      <c r="E5" s="8" t="n">
        <f>(B5/7)+C5+D5</f>
        <v>22.4285714285714</v>
      </c>
      <c r="F5" s="9" t="n">
        <v>0.12</v>
      </c>
      <c r="G5" s="9" t="n">
        <v>0</v>
      </c>
      <c r="H5" s="9" t="n">
        <f>F5+G5</f>
        <v>0.12</v>
      </c>
      <c r="I5" s="8" t="n">
        <f>E5/(1-H5)</f>
        <v>25.487012987013</v>
      </c>
    </row>
    <row r="6" ht="30.75" customHeight="1">
      <c r="B6" s="6" t="n">
        <v>100</v>
      </c>
      <c r="C6" s="6" t="n">
        <v>1.5</v>
      </c>
      <c r="D6" s="6" t="n">
        <v>9.5</v>
      </c>
      <c r="E6" s="8" t="n">
        <f>(B6/7)+C6+D6</f>
        <v>25.2857142857143</v>
      </c>
      <c r="F6" s="9" t="n">
        <v>0.12</v>
      </c>
      <c r="G6" s="9" t="n">
        <v>0.2</v>
      </c>
      <c r="H6" s="9" t="n">
        <f>F6+G6</f>
        <v>0.32</v>
      </c>
      <c r="I6" s="8" t="n">
        <f>E6/(1-H6)</f>
        <v>37.1848739495798</v>
      </c>
    </row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  <row r="195" ht="30.75" customHeight="1"/>
    <row r="196" ht="30.75" customHeight="1"/>
    <row r="197" ht="30.75" customHeight="1"/>
    <row r="198" ht="30.75" customHeight="1"/>
    <row r="199" ht="30.75" customHeight="1"/>
    <row r="200" ht="30.75" customHeight="1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1.4990234375" customWidth="1"/>
    <col min="2" max="2" width="14.373046875" customWidth="1"/>
    <col min="3" max="3" width="13.875" customWidth="1" style="8"/>
    <col min="4" max="4" width="12.498046875" customWidth="1"/>
    <col min="5" max="5" width="14.8740234375" customWidth="1"/>
    <col min="6" max="6" width="13.875" customWidth="1" style="8"/>
    <col min="7" max="7" width="14.625" customWidth="1" style="9"/>
    <col min="8" max="8" width="13.875" customWidth="1" style="9"/>
    <col min="9" max="41" width="13.875" customWidth="1"/>
  </cols>
  <sheetData>
    <row r="1" s="13" customFormat="1" ht="43.5" customHeight="1">
      <c r="A1" s="13" t="s">
        <v>0</v>
      </c>
      <c r="B1" s="13" t="s">
        <v>1</v>
      </c>
      <c r="C1" s="15" t="s">
        <v>12</v>
      </c>
      <c r="D1" s="14" t="s">
        <v>2</v>
      </c>
      <c r="E1" s="14" t="s">
        <v>3</v>
      </c>
      <c r="F1" s="15" t="s">
        <v>4</v>
      </c>
      <c r="G1" s="15" t="s">
        <v>13</v>
      </c>
      <c r="H1" s="16" t="s">
        <v>8</v>
      </c>
      <c r="I1" s="13" t="s">
        <v>9</v>
      </c>
    </row>
    <row r="2" ht="30.75" customHeight="1">
      <c r="A2" s="6" t="s">
        <v>14</v>
      </c>
      <c r="B2" s="6" t="n">
        <v>69</v>
      </c>
      <c r="C2" s="8" t="n">
        <v>49.99</v>
      </c>
      <c r="D2" s="6" t="n">
        <v>1.5</v>
      </c>
      <c r="E2" s="6" t="n">
        <v>9.5</v>
      </c>
      <c r="F2" s="8" t="n">
        <f>(B2/7)+D2+E2</f>
        <v>20.8571428571429</v>
      </c>
      <c r="G2" s="9" t="n">
        <f>F2/C2</f>
        <v>0.417226302403339</v>
      </c>
      <c r="H2" s="9" t="n">
        <v>0.1</v>
      </c>
      <c r="I2" s="11" t="n">
        <f>1-G2-H2</f>
        <v>0.482773697596661</v>
      </c>
    </row>
    <row r="3" ht="30.75" customHeight="1">
      <c r="A3" s="6" t="s">
        <v>14</v>
      </c>
      <c r="B3" s="6" t="n">
        <v>100</v>
      </c>
      <c r="C3" s="8" t="n">
        <v>35</v>
      </c>
      <c r="D3" s="6" t="n">
        <v>1.5</v>
      </c>
      <c r="E3" s="6" t="n">
        <v>9.5</v>
      </c>
      <c r="F3" s="8" t="n">
        <f>(B3/7)+D3+E3</f>
        <v>25.2857142857143</v>
      </c>
      <c r="G3" s="9" t="n">
        <f>F3/C3</f>
        <v>0.722448979591837</v>
      </c>
      <c r="H3" s="9" t="n">
        <v>0.1</v>
      </c>
      <c r="I3" s="9" t="n">
        <f>1-G3-H3</f>
        <v>0.177551020408163</v>
      </c>
    </row>
    <row r="4" ht="30.75" customHeight="1"/>
    <row r="5" ht="30.75" customHeight="1"/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2025-12-30T11:45:45Z</dcterms:modified>
</cp:coreProperties>
</file>